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niel\Dev\Compi\Proyecto\MiniGoCompiler\docs\"/>
    </mc:Choice>
  </mc:AlternateContent>
  <xr:revisionPtr revIDLastSave="0" documentId="8_{B6A51FC9-648A-4B34-B633-832E41A4C6F8}" xr6:coauthVersionLast="47" xr6:coauthVersionMax="47" xr10:uidLastSave="{00000000-0000-0000-0000-000000000000}"/>
  <bookViews>
    <workbookView xWindow="-28920" yWindow="-120" windowWidth="29040" windowHeight="15720" xr2:uid="{00000000-000D-0000-FFFF-FFFF000000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 r="H40" i="1"/>
  <c r="H39"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alcChain>
</file>

<file path=xl/sharedStrings.xml><?xml version="1.0" encoding="utf-8"?>
<sst xmlns="http://schemas.openxmlformats.org/spreadsheetml/2006/main" count="132" uniqueCount="90">
  <si>
    <t>Escala de Calificación</t>
  </si>
  <si>
    <t>Comentarios</t>
  </si>
  <si>
    <t>Notas: Cada categoría se califica según la escala utilizando una X.</t>
  </si>
  <si>
    <t>No hay evidencia de que exista un código/estrategia que intente resolver el problema</t>
  </si>
  <si>
    <t>Existe un código/estrategia que intenta resolver el problema pero no genera resultados</t>
  </si>
  <si>
    <t>Existe un código/estrategia atinente a resolver el problema que muestra resultados pero que tiene fallas importantes</t>
  </si>
  <si>
    <t>Existe un código/estrategia que resuelve el problema y muestra resultados importantes aún cuando presenta fallas menores</t>
  </si>
  <si>
    <t>El código/estrategia existente es completamente funcional y atinente a resolver el problema</t>
  </si>
  <si>
    <t>Categorías de Evaluación</t>
  </si>
  <si>
    <t>%</t>
  </si>
  <si>
    <t>0pts</t>
  </si>
  <si>
    <t>1 pts</t>
  </si>
  <si>
    <t>2 pts</t>
  </si>
  <si>
    <t>3 pts</t>
  </si>
  <si>
    <t>4 pts</t>
  </si>
  <si>
    <t>GUI: Editor amigable. Opciones de compilación funcionales. Identificación de código correcta por línea y columna.</t>
  </si>
  <si>
    <t>x</t>
  </si>
  <si>
    <t>GUI: Manejo de archivos correcto.</t>
  </si>
  <si>
    <t>SCANNER: Idendificación de tokens simples presentes en la gramática</t>
  </si>
  <si>
    <t>SCANNER: Identificación de tokens con expresiones regulares complejas presentes en la gramática, incluyendo comentarios</t>
  </si>
  <si>
    <t>El lexer tambien reconoce numeros con decimales (3.14), texto entre comillas invertidas, caracteres individuales con comillas simples y comentarios de linea (//) y de bloque (/* */). Los comentarios se ignoran y no afectan la compilacion.</t>
  </si>
  <si>
    <t>SCANNER: Despliegue eficiente e identificable de posibles errores léxicos presentes en los archivos de prueba.</t>
  </si>
  <si>
    <t>Cuando el codigo tiene un caracter invalido, el compilador registra la linea y columna exacta del error y lo muestra en la lista de errores del IDE con subrayado rojo. El programa no se detiene; continua revisando el resto del archivo.</t>
  </si>
  <si>
    <t>PARSER: Reconocimiento de reglas para declaraciones presentes en el lenguaje</t>
  </si>
  <si>
    <t>El parser reconoce todas las formas de declarar variables (var x int, var x int = 5), de definir structs (type Punto struct) y de declarar funciones con o sin parametros y con o sin tipo de retorno. Probado con los archivos de prueba incluidos.</t>
  </si>
  <si>
    <t xml:space="preserve">PARSER: Reconocimiento de reglas para statements presentes en el lenguaje  </t>
  </si>
  <si>
    <t>El parser reconoce todas las instrucciones del lenguaje: las cuatro variantes de for, las cuatro variantes de switch, if/else con cadenas de else if, asignaciones, incrementos (i++), return, break, continue, print y println. Probado en el archivo control_flow.txt.</t>
  </si>
  <si>
    <t xml:space="preserve">PARSER: Reconocimiento de reglas para expresiones presentes en el lenguaje  </t>
  </si>
  <si>
    <t>El parser reconoce expresiones con todos los operadores: suma, resta, multiplicacion, division, modulo, comparaciones, AND y OR logicos, negacion, acceso a campos de struct (punto.x), acceso a elementos de array (arr[0]) y llamadas a funciones. La precedencia la resuelve ANTLR4 automaticamente.</t>
  </si>
  <si>
    <t>PARSER: Despliegue eficiente e identificable de posibles errores sintácticos presentes en los códigos fuente</t>
  </si>
  <si>
    <t>Cuando hay un error de sintaxis, el compilador no se detiene. Descarta tokens hasta llegar a un punto seguro (una llave o punto y coma) y continua revisando el resto del archivo. Todos los errores sintacticos se muestran a la vez en la lista de errores con linea y columna.</t>
  </si>
  <si>
    <t>TABLA DE SIMBOLOS: funcionamiento adecuado de todo lo referente con el manejo de la tabla de símbolos</t>
  </si>
  <si>
    <t>La tabla de simbolos es como un directorio por niveles. Al entrar a una funcion se abre un nivel nuevo; al salir se cierra. Asi se sabe que variables existen en cada parte del programa. Guarda el nombre, tipo y nivel de cada variable y funcion declarada.</t>
  </si>
  <si>
    <t>VISITOR: implementación correcta del patrón visitor según estructura definida por ANTLR4</t>
  </si>
  <si>
    <t>ANTLR4 genera un arbol con toda la estructura del programa. Para recorrerlo se usa el patron Visitor: hay un Visitor para verificar tipos (TypeChecker) y otro para generar codigo (Encoder). Ambos son independientes entre si y ninguno modifica el arbol.</t>
  </si>
  <si>
    <t>CHEQUEO DE ALCANCES: Se controla adecuadamente todos los niveles de los identificadores entre cosas globales y locales (incluyendo parámetros y retornos de funciones)</t>
  </si>
  <si>
    <t>Las variables globales son accesibles desde cualquier funcion. Las variables locales solo existen dentro de la funcion donde se declararon. Los parametros de una funcion tambien son locales a ella. Verificado con archivos de prueba que mezclan globales y locales.</t>
  </si>
  <si>
    <t>CHEQUEO DE ALCANCES: se controla adecuadamente que no se puedan redeclarar dos o más identificadores con el mismo nombre (tanto variables, parámetros o métodos)</t>
  </si>
  <si>
    <t>No se puede declarar dos veces la misma variable en el mismo bloque. Si se intenta, el compilador reporta el error con la linea y columna exacta. Si se permite tener una variable local con el mismo nombre que una global (la local la oculta dentro de ese bloque).</t>
  </si>
  <si>
    <t>CHEQUEO DE ALCANCES: Se controla adecuadamente la existencia de métodos cuando estos sean llamados (siempre que el nivel lo permita)</t>
  </si>
  <si>
    <t>Cuando se llama a una funcion, el compilador verifica que exista. Si no esta declarada, reporta error con linea y columna exacta. Las funciones predefinidas como println, len y cap son casos especiales que siempre estan disponibles sin declaracion.</t>
  </si>
  <si>
    <t>CHEQUEO DE ALCANCES: Se controla adecuadamente que al llamar a un método se respete la cantidad de argumentos con que este fue declarado</t>
  </si>
  <si>
    <t>Cuando se llama a una funcion, el compilador cuenta cuantos argumentos se pasan y los compara con cuantos parametros tiene la funcion. Si no coinciden, reporta error. Probado con funciones de 0, 1, 2, 3 y 4 parametros.</t>
  </si>
  <si>
    <t>CHEQUEO DE ALCANCES: Se controla adecuadamente que al utilizar una variable de tipo struct, los campos que se pueden acceder de la misma, estén correctamente declarados</t>
  </si>
  <si>
    <t>Cuando se accede a un campo de un struct (por ejemplo punto.x), el compilador verifica que ese campo exista en la definicion del struct. Si el campo no existe, reporta error. Probado con el archivo structs_by_value.txt.</t>
  </si>
  <si>
    <t>CHEQUEO DE ALCANCES: El reporte de errores es claro y conciso, adempas de que utiliza la fila y la columna para comunicarle al usuario la posición del error</t>
  </si>
  <si>
    <t>Todos los errores de alcance (variable no declarada, funcion no encontrada, campo invalido, etc.) incluyen la linea y columna exacta del problema. Se muestran en la lista de errores del IDE junto con los de tipo y lexicos, ordenados por posicion.</t>
  </si>
  <si>
    <t>CHEQUEO DE TIPOS: Se verifican adecuadamente los tipos en asignaciones donde se debe respetar la equivalencia entre el identificador y la expresión</t>
  </si>
  <si>
    <t>Si se declara una variable de tipo int y se le intenta asignar un float o un booleano, el compilador reporta error de tipos. Las asignaciones por indice en arrays y por campo en structs tambien verifican compatibilidad de tipos. No hay conversion automatica entre tipos.</t>
  </si>
  <si>
    <t>CHEQUEO DE TIPOS: Se verifican adecuadamente los tipos en expresiones lógicas de manera que sean consideradas como de tipo booleano</t>
  </si>
  <si>
    <t>Las condiciones de if y for deben ser booleanas. Si se pone un entero o un string como condicion, es error. Las comparaciones (&gt;, &lt;, ==, etc.) producen booleano. Los operadores &amp;&amp; y || tambien requieren y producen booleano.</t>
  </si>
  <si>
    <t>CHEQUEO DE TIPOS: se verifica adecuadamente los tipos en el uso de slice y arrays</t>
  </si>
  <si>
    <t>El indice de un array debe ser entero; usar un decimal como indice es error. Los elementos del array deben ser del tipo declarado. len() y cap() aceptan arrays y retornan un entero. Probado con 10 escenarios en el archivo len_test.txt.</t>
  </si>
  <si>
    <t>CHEQUEO DE TIPOS: se verifican adecuadamente los tipos de datos en expresiones complejas considerando cualquier posibilidad según la sintaxis y las reglas semánticas del lenguaje. Cualquier cosa que no sea válida de forma semántica (aunque lo sea de forma sintáctica) debe ser reportada como error</t>
  </si>
  <si>
    <t>Los operadores aritmeticos (+, -, *, /, %) requieren que los dos operandos sean del mismo tipo numerico. Sumar un entero con un booleano, o multiplicar un string, son errores semanticos. Comparar tipos distintos tambien es error. Todo se reporta con linea y columna.</t>
  </si>
  <si>
    <t>CHEQUEO DE TIPOS: Se verifica adecuadamente el tipo de datos de los elementos de un struct</t>
  </si>
  <si>
    <t>Cuando se asigna un valor a un campo de un struct, el tipo del valor debe coincidir con el tipo declarado del campo. Si el campo es int y se le asigna un decimal, es error. Probado con los structs Point y Rect en structs_by_value.txt.</t>
  </si>
  <si>
    <t>CHEQUEO DE TIPOS: Se verifica adecuadamente los tipos de datos de los argumentos al llamar a un método que coincidan con los tipos de declaración</t>
  </si>
  <si>
    <t>Al llamar a una funcion no solo se verifica la cantidad de argumentos, sino tambien que los tipos coincidan con los de la declaracion. Si la funcion espera un int y se le pasa un string, es error. Probado con funciones que mezclan int, float64 y string.</t>
  </si>
  <si>
    <t>CHEQUEO DE TIPOS: se verifica adecuadamente el tipo de retorno de una función al momento de ejecutar el statement RETURN (debe coincidir con el tipo de declaración de la función)</t>
  </si>
  <si>
    <t>Si una funcion declara que retorna int, el return debe devolver un entero. Un return vacio en una funcion con tipo de retorno es error, y un return con valor en una funcion void tambien es error. Probado con varias funciones de distintos tipos de retorno.</t>
  </si>
  <si>
    <t>CHEQUEO DE TIPOS: El reporte de errores es claro y conciso, adempas de que utiliza la fila y la columna para comunicarle al usuario la posición del error</t>
  </si>
  <si>
    <t>Todos los errores de tipo incluyen la linea y columna exacta del problema y especifican que tipo se esperaba y que tipo se encontro. Se muestran en la misma lista de errores del IDE junto con los de alcance.</t>
  </si>
  <si>
    <t>CODIGO GENERADO: funciona adecuadamente y en diversos excenarios probados la declaración y uso de variables globales</t>
  </si>
  <si>
    <t>Las variables declaradas fuera de cualquier funcion son globales. El compilador las crea con valor inicial cero (0 para int, false para bool, vacio para string). Se pueden leer y escribir desde cualquier funcion. Probado con variables de todos los tipos basicos.</t>
  </si>
  <si>
    <t xml:space="preserve">CODIGO GENERADO: funciona adecuadamente y en diversos excenarios probados la declaración y uso de slice y arrays </t>
  </si>
  <si>
    <t>Los arrays de enteros de tamano fijo se declaran con [N]int. Se puede leer y escribir por indice. len() y cap() retornan el tamano definido en la declaracion. append() retorna el mismo array porque en MiniGo no hay memoria dinamica. Probado con 10 escenarios diferentes.</t>
  </si>
  <si>
    <t>CODIGO GENERADO: funciona adecuadamente y en diversos excenarios probados la declaración y uso de metodos de nivel global, con o sin parámetros o retorno</t>
  </si>
  <si>
    <t>Se pueden declarar funciones con o sin parametros y con o sin valor de retorno. Tambien se pueden pasar structs como parametros y retornarlos. Probado con funciones de 0 a 4 parametros, con distintos tipos de retorno y con structs por valor.</t>
  </si>
  <si>
    <t>CODIGO GENERADO: funciona adecuadamente y en diversos excenarios probados la declaración y uso de variables y parámetros locales</t>
  </si>
  <si>
    <t>Las variables declaradas dentro de una funcion solo existen mientras esa funcion ejecuta. Los parametros funcionan igual. Al salir de la funcion desaparecen. Probado en todas las funciones del archivo functions_builtins.txt.</t>
  </si>
  <si>
    <t>CODIGO GENERADO: funciona adecuadamente y en diversos excenarios probados el uso de instrucciones de control como  if y switch</t>
  </si>
  <si>
    <t>El if/else funciona con cadenas de else if. El for funciona en sus cuatro variantes. El switch funciona con expresion entera, con default, sin expresion (bare switch) y con instruccion de inicializacion. El continue en un for siempre ejecuta el incremento antes de volver a la condicion. Probado en control_flow.txt.</t>
  </si>
  <si>
    <t>CODIGO GENERADO: funciona adecuadamente y en diversos excenarios probados el uso de expresiones con cualquier tipo de datos simple permitido semánticamente</t>
  </si>
  <si>
    <t>Funcionan todas las operaciones aritmeticas para int y float, todas las comparaciones, los operadores logicos &amp;&amp; y ||, la negacion !, y la negacion aritmetica. Tambien el operador XOR (^) y el modulo (%). Probado en operations.txt.</t>
  </si>
  <si>
    <t>CODIGO GENERADO: funciona adecuadamente y en diversos excenarios probados el uso de métodos predefinidos print, cap, len, etc</t>
  </si>
  <si>
    <t>println y print imprimen cualquier tipo basico con el formato correcto. len() y cap() retornan el tamano del array. append() retorna el array destino. Todos probados con la salida correcta verificada manualmente ejecutando el programa resultante.</t>
  </si>
  <si>
    <t>No se aporta documentación</t>
  </si>
  <si>
    <t>La documentación aportada no explica adecuadamente o no abarca lo solicitado</t>
  </si>
  <si>
    <t>La documentación aportada explica de forma muy simple y poco clara los elementos solicitados</t>
  </si>
  <si>
    <t>La documentación aportada explica de una manera completa pero con margen a dudas respecto de lo planteado</t>
  </si>
  <si>
    <t>La documentación aportada explica adecuadamente lo solicitado sin margen a dudas respecto de lo planteado</t>
  </si>
  <si>
    <t>DOCUMENTACIÓN: Se presenta una documentación suficientemente descriptiva de una forma clara y concisa de los elementos abarcados en el desarrollo del proyecto según el formato solicitado.</t>
  </si>
  <si>
    <t>El documento incluye portada formal con datos del TEC, introduccion, analisis de la gramatica del lenguaje con comparacion a Go, descripcion de la implementacion tecnica, tabla de lo implementado y lo no implementado con razones, conclusiones y bibliografia. Cumple el formato y no excede las 10 hojas sin portada.</t>
  </si>
  <si>
    <t>DOCUMENTACIÓN: se presenta una documentación legible a partir de correctos elementos gramaticales y sin errores ortográficos</t>
  </si>
  <si>
    <t>El documento esta redactado en espanol formal sin errores ortograficos. La terminologia tecnica es consistente, las secciones estan numeradas y las tablas tienen encabezados claros. La redaccion es directa y apropiada para un informe de ingenieria.</t>
  </si>
  <si>
    <t>Nota:</t>
  </si>
  <si>
    <t>El editor muestra el codigo con colores segun el tipo de palabra (azul para palabras clave, verde para comentarios, naranja para texto). Los errores aparecen subrayados en rojo con la linea y columna exacta en una lista abajo en un Panel de Errores y Warnings. Al hacer doble clic en un error el cursor va directo a esa linea. Funciona con F5 para ejecutar y F6 para compilar.</t>
  </si>
  <si>
    <t>Desde el IDE se puede abrir una carpeta completa y ver los archivos en un arbol a la izquierda. Al hacer doble clic en un archivo se abre en el editor. Tambien se puede abrir un archivo individual. La salida del programa y los errores se muestran en paneles separados. El primero es el Panel de Errores que es colapsable al igual que el siguiente, el panel de Output, que se comoporta como una consola pero solo de lectura.</t>
  </si>
  <si>
    <t>El lexer reconoce todas las palabras del lenguaje según las indicaciones y gramatica dada: palabras reservadas (if, for, func, var, etc.), operadores aritmeticos y logicos, y simbolos de puntuacion. Todo esto se definio en la gramatica ANTLR4 y se probo con los archivos de prueba incluidos.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</si>
</sst>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b/>
      <sz val="14"/>
      <color theme="1"/>
      <name val="Calibri"/>
      <family val="2"/>
      <scheme val="minor"/>
    </font>
    <font>
      <b/>
      <sz val="28"/>
      <color rgb="FF0000FF"/>
      <name val="Calibri"/>
      <family val="2"/>
      <scheme val="minor"/>
    </font>
    <font>
      <sz val="24"/>
      <color theme="1"/>
      <name val="Calibri"/>
      <family val="2"/>
      <scheme val="minor"/>
    </font>
    <font>
      <i/>
      <sz val="11"/>
      <color rgb="FF00B050"/>
      <name val="Calibri"/>
      <family val="2"/>
      <scheme val="minor"/>
    </font>
    <font>
      <sz val="10"/>
      <name val="Arial"/>
    </font>
  </fonts>
  <fills count="2">
    <fill>
      <patternFill patternType="none"/>
    </fill>
    <fill>
      <patternFill patternType="gray125"/>
    </fill>
  </fills>
  <borders count="4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8">
    <xf numFmtId="0" fontId="0" fillId="0" borderId="0" xfId="0"/>
    <xf numFmtId="0" fontId="0" fillId="0" borderId="1" xfId="0" applyBorder="1"/>
    <xf numFmtId="0" fontId="0" fillId="0" borderId="0" xfId="0"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11" xfId="0" applyBorder="1" applyAlignment="1">
      <alignment horizontal="left" wrapText="1"/>
    </xf>
    <xf numFmtId="0" fontId="0" fillId="0" borderId="2" xfId="0" applyBorder="1"/>
    <xf numFmtId="0" fontId="3" fillId="0" borderId="10" xfId="0" applyFont="1" applyBorder="1" applyAlignment="1">
      <alignment horizontal="center" vertical="center"/>
    </xf>
    <xf numFmtId="0" fontId="3" fillId="0" borderId="13" xfId="0" applyFont="1" applyBorder="1" applyAlignment="1">
      <alignment horizontal="center" vertical="center"/>
    </xf>
    <xf numFmtId="0" fontId="4" fillId="0" borderId="0" xfId="0" applyFont="1"/>
    <xf numFmtId="0" fontId="4" fillId="0" borderId="0" xfId="0" applyFont="1" applyAlignment="1">
      <alignment horizontal="center"/>
    </xf>
    <xf numFmtId="0" fontId="5" fillId="0" borderId="3" xfId="0" applyFont="1" applyBorder="1" applyAlignment="1">
      <alignment horizontal="center" vertical="center" wrapText="1"/>
    </xf>
    <xf numFmtId="0" fontId="3" fillId="0" borderId="12" xfId="0" applyFont="1" applyBorder="1" applyAlignment="1">
      <alignment horizontal="center" vertical="center"/>
    </xf>
    <xf numFmtId="0" fontId="2" fillId="0" borderId="7" xfId="0" applyFont="1" applyBorder="1" applyAlignment="1">
      <alignment horizontal="center"/>
    </xf>
    <xf numFmtId="0" fontId="2" fillId="0" borderId="9" xfId="0" applyFont="1" applyBorder="1" applyAlignment="1">
      <alignment horizontal="center"/>
    </xf>
    <xf numFmtId="0" fontId="1" fillId="0" borderId="11" xfId="0" applyFont="1" applyBorder="1" applyAlignment="1">
      <alignment horizontal="center" wrapText="1"/>
    </xf>
    <xf numFmtId="0" fontId="1" fillId="0" borderId="18" xfId="0" applyFont="1" applyBorder="1" applyAlignment="1">
      <alignment horizontal="center" wrapText="1"/>
    </xf>
    <xf numFmtId="0" fontId="1" fillId="0" borderId="15" xfId="0" applyFont="1" applyBorder="1" applyAlignment="1">
      <alignment horizontal="center" wrapText="1"/>
    </xf>
    <xf numFmtId="0" fontId="0" fillId="0" borderId="20" xfId="0" applyBorder="1" applyAlignment="1">
      <alignment horizontal="left"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0" fillId="0" borderId="26" xfId="0" applyBorder="1" applyAlignment="1">
      <alignment horizontal="left" wrapText="1"/>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0" fillId="0" borderId="33" xfId="0" applyBorder="1"/>
    <xf numFmtId="0" fontId="0" fillId="0" borderId="26" xfId="0" applyBorder="1" applyAlignment="1">
      <alignment vertical="center" wrapText="1"/>
    </xf>
    <xf numFmtId="0" fontId="0" fillId="0" borderId="34" xfId="0" applyBorder="1" applyAlignment="1">
      <alignment vertical="center" wrapText="1"/>
    </xf>
    <xf numFmtId="0" fontId="0" fillId="0" borderId="21" xfId="0" applyBorder="1" applyAlignment="1">
      <alignment vertical="center" wrapText="1"/>
    </xf>
    <xf numFmtId="0" fontId="0" fillId="0" borderId="16" xfId="0" applyBorder="1" applyAlignment="1">
      <alignment horizontal="left" wrapText="1"/>
    </xf>
    <xf numFmtId="0" fontId="2" fillId="0" borderId="35" xfId="0" applyFont="1" applyBorder="1" applyAlignment="1">
      <alignment horizontal="center"/>
    </xf>
    <xf numFmtId="0" fontId="2" fillId="0" borderId="36" xfId="0" applyFont="1" applyBorder="1" applyAlignment="1">
      <alignment horizontal="center"/>
    </xf>
    <xf numFmtId="0" fontId="1" fillId="0" borderId="37" xfId="0" applyFont="1" applyBorder="1" applyAlignment="1">
      <alignment horizontal="center" wrapText="1"/>
    </xf>
    <xf numFmtId="0" fontId="1" fillId="0" borderId="38" xfId="0" applyFont="1" applyBorder="1" applyAlignment="1">
      <alignment horizontal="center" wrapText="1"/>
    </xf>
    <xf numFmtId="0" fontId="1" fillId="0" borderId="39" xfId="0" applyFont="1" applyBorder="1" applyAlignment="1">
      <alignment horizontal="center" wrapText="1"/>
    </xf>
    <xf numFmtId="0" fontId="0" fillId="0" borderId="38" xfId="0" applyBorder="1"/>
    <xf numFmtId="0" fontId="0" fillId="0" borderId="14" xfId="0" applyBorder="1" applyAlignment="1">
      <alignment wrapText="1"/>
    </xf>
    <xf numFmtId="0" fontId="0" fillId="0" borderId="15" xfId="0" applyBorder="1" applyAlignment="1">
      <alignment wrapText="1"/>
    </xf>
    <xf numFmtId="164" fontId="1" fillId="0" borderId="21" xfId="0" applyNumberFormat="1" applyFont="1" applyBorder="1" applyAlignment="1">
      <alignment horizontal="center" vertical="center" wrapText="1"/>
    </xf>
    <xf numFmtId="164" fontId="1" fillId="0" borderId="19" xfId="0" applyNumberFormat="1" applyFont="1" applyBorder="1" applyAlignment="1">
      <alignment horizontal="center" vertical="center" wrapText="1"/>
    </xf>
    <xf numFmtId="164" fontId="1" fillId="0" borderId="14" xfId="0" applyNumberFormat="1" applyFont="1" applyBorder="1" applyAlignment="1">
      <alignment horizontal="center" vertical="center" wrapText="1"/>
    </xf>
    <xf numFmtId="0" fontId="0" fillId="0" borderId="18" xfId="0" applyBorder="1" applyAlignment="1">
      <alignment vertical="center" wrapText="1"/>
    </xf>
    <xf numFmtId="0" fontId="6" fillId="0" borderId="25" xfId="0" applyFont="1" applyBorder="1" applyAlignment="1">
      <alignment vertical="top" wrapText="1"/>
    </xf>
    <xf numFmtId="0" fontId="6" fillId="0" borderId="21" xfId="0" applyFont="1" applyBorder="1" applyAlignment="1">
      <alignment vertical="top" wrapText="1"/>
    </xf>
    <xf numFmtId="0" fontId="6" fillId="0" borderId="19" xfId="0" applyFont="1" applyBorder="1" applyAlignment="1">
      <alignment vertical="top" wrapText="1"/>
    </xf>
    <xf numFmtId="0" fontId="2" fillId="0" borderId="41" xfId="0" applyFont="1" applyBorder="1" applyAlignment="1">
      <alignment horizontal="center" vertical="center" wrapText="1"/>
    </xf>
    <xf numFmtId="0" fontId="0" fillId="0" borderId="5" xfId="0" applyBorder="1"/>
    <xf numFmtId="0" fontId="0" fillId="0" borderId="6" xfId="0" applyBorder="1"/>
    <xf numFmtId="0" fontId="2" fillId="0" borderId="25" xfId="0" applyFont="1" applyBorder="1" applyAlignment="1">
      <alignment horizontal="center"/>
    </xf>
    <xf numFmtId="0" fontId="0" fillId="0" borderId="17" xfId="0" applyBorder="1"/>
    <xf numFmtId="0" fontId="0" fillId="0" borderId="14" xfId="0" applyBorder="1"/>
    <xf numFmtId="0" fontId="2" fillId="0" borderId="40" xfId="0" applyFont="1" applyBorder="1" applyAlignment="1">
      <alignment horizontal="center"/>
    </xf>
    <xf numFmtId="0" fontId="0" fillId="0" borderId="8" xfId="0" applyBorder="1"/>
    <xf numFmtId="0" fontId="0" fillId="0" borderId="9" xfId="0" applyBorder="1"/>
  </cellXfs>
  <cellStyles count="1">
    <cellStyle name="Normal" xfId="0" builtinId="0"/>
  </cellStyles>
  <dxfs count="2">
    <dxf>
      <font>
        <color rgb="FF0000FF"/>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topLeftCell="A35" zoomScale="85" zoomScaleNormal="85" workbookViewId="0">
      <selection activeCell="I7" sqref="I7"/>
    </sheetView>
  </sheetViews>
  <sheetFormatPr defaultColWidth="11.5546875" defaultRowHeight="14.4" x14ac:dyDescent="0.3"/>
  <cols>
    <col min="1" max="1" width="32.109375" customWidth="1"/>
    <col min="2" max="2" width="6.109375" customWidth="1"/>
    <col min="3" max="3" width="17.33203125" customWidth="1"/>
    <col min="4" max="4" width="18" customWidth="1"/>
    <col min="5" max="5" width="17" customWidth="1"/>
    <col min="6" max="6" width="18.5546875" customWidth="1"/>
    <col min="7" max="7" width="18.88671875" customWidth="1"/>
    <col min="8" max="8" width="11.44140625" hidden="1" customWidth="1"/>
    <col min="9" max="9" width="85" customWidth="1"/>
  </cols>
  <sheetData>
    <row r="1" spans="1:9" ht="18.75" customHeight="1" x14ac:dyDescent="0.35">
      <c r="A1" s="1"/>
      <c r="B1" s="6"/>
      <c r="C1" s="55" t="s">
        <v>0</v>
      </c>
      <c r="D1" s="56"/>
      <c r="E1" s="56"/>
      <c r="F1" s="56"/>
      <c r="G1" s="57"/>
      <c r="H1" s="6"/>
      <c r="I1" s="49" t="s">
        <v>1</v>
      </c>
    </row>
    <row r="2" spans="1:9" ht="135.75" customHeight="1" thickBot="1" x14ac:dyDescent="0.35">
      <c r="A2" s="11" t="s">
        <v>2</v>
      </c>
      <c r="C2" s="30" t="s">
        <v>3</v>
      </c>
      <c r="D2" s="31" t="s">
        <v>4</v>
      </c>
      <c r="E2" s="31" t="s">
        <v>5</v>
      </c>
      <c r="F2" s="31" t="s">
        <v>6</v>
      </c>
      <c r="G2" s="32" t="s">
        <v>7</v>
      </c>
      <c r="I2" s="50"/>
    </row>
    <row r="3" spans="1:9" ht="19.5" customHeight="1" thickBot="1" x14ac:dyDescent="0.4">
      <c r="A3" s="34" t="s">
        <v>8</v>
      </c>
      <c r="B3" s="35" t="s">
        <v>9</v>
      </c>
      <c r="C3" s="36" t="s">
        <v>10</v>
      </c>
      <c r="D3" s="37" t="s">
        <v>11</v>
      </c>
      <c r="E3" s="37" t="s">
        <v>12</v>
      </c>
      <c r="F3" s="37" t="s">
        <v>13</v>
      </c>
      <c r="G3" s="38" t="s">
        <v>14</v>
      </c>
      <c r="H3" s="39"/>
      <c r="I3" s="51"/>
    </row>
    <row r="4" spans="1:9" ht="90" customHeight="1" x14ac:dyDescent="0.3">
      <c r="A4" s="33" t="s">
        <v>15</v>
      </c>
      <c r="B4" s="44">
        <v>2.5</v>
      </c>
      <c r="C4" s="19"/>
      <c r="D4" s="20"/>
      <c r="E4" s="20"/>
      <c r="F4" s="20"/>
      <c r="G4" s="21" t="s">
        <v>16</v>
      </c>
      <c r="H4">
        <f t="shared" ref="H4:H35" si="0">_xlfn.IFS(C4="X",(0*B4)/4,D4="X",(1*B4)/4,E4="X",(2*B4)/4,F4="X",(3*B4)/4,G4="X",(4*B4)/4)</f>
        <v>2.5</v>
      </c>
      <c r="I4" s="46" t="s">
        <v>87</v>
      </c>
    </row>
    <row r="5" spans="1:9" ht="90" customHeight="1" x14ac:dyDescent="0.3">
      <c r="A5" s="33" t="s">
        <v>17</v>
      </c>
      <c r="B5" s="44">
        <v>2.5</v>
      </c>
      <c r="C5" s="19"/>
      <c r="D5" s="20"/>
      <c r="E5" s="20"/>
      <c r="F5" s="20"/>
      <c r="G5" s="21" t="s">
        <v>16</v>
      </c>
      <c r="H5">
        <f t="shared" si="0"/>
        <v>2.5</v>
      </c>
      <c r="I5" s="46" t="s">
        <v>88</v>
      </c>
    </row>
    <row r="6" spans="1:9" ht="90" customHeight="1" x14ac:dyDescent="0.3">
      <c r="A6" s="33" t="s">
        <v>18</v>
      </c>
      <c r="B6" s="44">
        <v>2.5</v>
      </c>
      <c r="C6" s="19"/>
      <c r="D6" s="20"/>
      <c r="E6" s="20"/>
      <c r="F6" s="20"/>
      <c r="G6" s="21" t="s">
        <v>16</v>
      </c>
      <c r="H6">
        <f t="shared" si="0"/>
        <v>2.5</v>
      </c>
      <c r="I6" s="46" t="s">
        <v>89</v>
      </c>
    </row>
    <row r="7" spans="1:9" ht="90" customHeight="1" x14ac:dyDescent="0.3">
      <c r="A7" s="5" t="s">
        <v>19</v>
      </c>
      <c r="B7" s="44">
        <v>2.5</v>
      </c>
      <c r="C7" s="19"/>
      <c r="D7" s="20"/>
      <c r="E7" s="20"/>
      <c r="F7" s="20"/>
      <c r="G7" s="21" t="s">
        <v>16</v>
      </c>
      <c r="H7">
        <f t="shared" si="0"/>
        <v>2.5</v>
      </c>
      <c r="I7" s="46" t="s">
        <v>20</v>
      </c>
    </row>
    <row r="8" spans="1:9" ht="90" customHeight="1" x14ac:dyDescent="0.3">
      <c r="A8" s="5" t="s">
        <v>21</v>
      </c>
      <c r="B8" s="44">
        <v>2</v>
      </c>
      <c r="C8" s="19"/>
      <c r="D8" s="20"/>
      <c r="E8" s="20"/>
      <c r="F8" s="20"/>
      <c r="G8" s="21" t="s">
        <v>16</v>
      </c>
      <c r="H8">
        <f t="shared" si="0"/>
        <v>2</v>
      </c>
      <c r="I8" s="46" t="s">
        <v>22</v>
      </c>
    </row>
    <row r="9" spans="1:9" ht="90" customHeight="1" x14ac:dyDescent="0.3">
      <c r="A9" s="5" t="s">
        <v>23</v>
      </c>
      <c r="B9" s="44">
        <v>3</v>
      </c>
      <c r="C9" s="19"/>
      <c r="D9" s="20"/>
      <c r="E9" s="20"/>
      <c r="F9" s="20"/>
      <c r="G9" s="21" t="s">
        <v>16</v>
      </c>
      <c r="H9">
        <f t="shared" si="0"/>
        <v>3</v>
      </c>
      <c r="I9" s="46" t="s">
        <v>24</v>
      </c>
    </row>
    <row r="10" spans="1:9" ht="90" customHeight="1" x14ac:dyDescent="0.3">
      <c r="A10" s="5" t="s">
        <v>25</v>
      </c>
      <c r="B10" s="44">
        <v>3</v>
      </c>
      <c r="C10" s="19"/>
      <c r="D10" s="20"/>
      <c r="E10" s="20"/>
      <c r="F10" s="20"/>
      <c r="G10" s="8" t="s">
        <v>16</v>
      </c>
      <c r="H10">
        <f t="shared" si="0"/>
        <v>3</v>
      </c>
      <c r="I10" s="46" t="s">
        <v>26</v>
      </c>
    </row>
    <row r="11" spans="1:9" ht="90" customHeight="1" x14ac:dyDescent="0.3">
      <c r="A11" s="5" t="s">
        <v>27</v>
      </c>
      <c r="B11" s="44">
        <v>3</v>
      </c>
      <c r="C11" s="19"/>
      <c r="D11" s="20"/>
      <c r="E11" s="20"/>
      <c r="F11" s="20"/>
      <c r="G11" s="8" t="s">
        <v>16</v>
      </c>
      <c r="H11">
        <f t="shared" si="0"/>
        <v>3</v>
      </c>
      <c r="I11" s="46" t="s">
        <v>28</v>
      </c>
    </row>
    <row r="12" spans="1:9" ht="90" customHeight="1" x14ac:dyDescent="0.3">
      <c r="A12" s="5" t="s">
        <v>29</v>
      </c>
      <c r="B12" s="44">
        <v>2</v>
      </c>
      <c r="C12" s="19"/>
      <c r="D12" s="20"/>
      <c r="E12" s="20"/>
      <c r="F12" s="20"/>
      <c r="G12" s="8" t="s">
        <v>16</v>
      </c>
      <c r="H12">
        <f t="shared" si="0"/>
        <v>2</v>
      </c>
      <c r="I12" s="46" t="s">
        <v>30</v>
      </c>
    </row>
    <row r="13" spans="1:9" ht="90" customHeight="1" x14ac:dyDescent="0.3">
      <c r="A13" s="33" t="s">
        <v>31</v>
      </c>
      <c r="B13" s="44">
        <v>2</v>
      </c>
      <c r="C13" s="19"/>
      <c r="D13" s="20"/>
      <c r="E13" s="20"/>
      <c r="F13" s="20"/>
      <c r="G13" s="21" t="s">
        <v>16</v>
      </c>
      <c r="H13">
        <f t="shared" si="0"/>
        <v>2</v>
      </c>
      <c r="I13" s="46" t="s">
        <v>32</v>
      </c>
    </row>
    <row r="14" spans="1:9" ht="90" customHeight="1" x14ac:dyDescent="0.3">
      <c r="A14" s="33" t="s">
        <v>33</v>
      </c>
      <c r="B14" s="44">
        <v>2</v>
      </c>
      <c r="C14" s="19"/>
      <c r="D14" s="20"/>
      <c r="E14" s="20"/>
      <c r="F14" s="20"/>
      <c r="G14" s="21" t="s">
        <v>16</v>
      </c>
      <c r="H14">
        <f t="shared" si="0"/>
        <v>2</v>
      </c>
      <c r="I14" s="46" t="s">
        <v>34</v>
      </c>
    </row>
    <row r="15" spans="1:9" ht="90" customHeight="1" x14ac:dyDescent="0.3">
      <c r="A15" s="33" t="s">
        <v>35</v>
      </c>
      <c r="B15" s="44">
        <v>3</v>
      </c>
      <c r="C15" s="19"/>
      <c r="D15" s="20"/>
      <c r="E15" s="20"/>
      <c r="F15" s="20"/>
      <c r="G15" s="21" t="s">
        <v>16</v>
      </c>
      <c r="H15">
        <f t="shared" si="0"/>
        <v>3</v>
      </c>
      <c r="I15" s="46" t="s">
        <v>36</v>
      </c>
    </row>
    <row r="16" spans="1:9" ht="90" customHeight="1" x14ac:dyDescent="0.3">
      <c r="A16" s="33" t="s">
        <v>37</v>
      </c>
      <c r="B16" s="44">
        <v>3</v>
      </c>
      <c r="C16" s="19"/>
      <c r="D16" s="20"/>
      <c r="E16" s="20"/>
      <c r="F16" s="20"/>
      <c r="G16" s="21" t="s">
        <v>16</v>
      </c>
      <c r="H16">
        <f t="shared" si="0"/>
        <v>3</v>
      </c>
      <c r="I16" s="46" t="s">
        <v>38</v>
      </c>
    </row>
    <row r="17" spans="1:9" ht="90" customHeight="1" x14ac:dyDescent="0.3">
      <c r="A17" s="33" t="s">
        <v>39</v>
      </c>
      <c r="B17" s="44">
        <v>3</v>
      </c>
      <c r="C17" s="19"/>
      <c r="D17" s="20"/>
      <c r="E17" s="20"/>
      <c r="F17" s="20"/>
      <c r="G17" s="21" t="s">
        <v>16</v>
      </c>
      <c r="H17">
        <f t="shared" si="0"/>
        <v>3</v>
      </c>
      <c r="I17" s="46" t="s">
        <v>40</v>
      </c>
    </row>
    <row r="18" spans="1:9" ht="90" customHeight="1" x14ac:dyDescent="0.3">
      <c r="A18" s="33" t="s">
        <v>41</v>
      </c>
      <c r="B18" s="44">
        <v>3</v>
      </c>
      <c r="C18" s="19"/>
      <c r="D18" s="20"/>
      <c r="E18" s="20"/>
      <c r="F18" s="20"/>
      <c r="G18" s="21" t="s">
        <v>16</v>
      </c>
      <c r="H18">
        <f t="shared" si="0"/>
        <v>3</v>
      </c>
      <c r="I18" s="46" t="s">
        <v>42</v>
      </c>
    </row>
    <row r="19" spans="1:9" ht="90" customHeight="1" x14ac:dyDescent="0.3">
      <c r="A19" s="33" t="s">
        <v>43</v>
      </c>
      <c r="B19" s="44">
        <v>3</v>
      </c>
      <c r="C19" s="19"/>
      <c r="D19" s="20"/>
      <c r="E19" s="20"/>
      <c r="F19" s="20"/>
      <c r="G19" s="21" t="s">
        <v>16</v>
      </c>
      <c r="H19">
        <f t="shared" si="0"/>
        <v>3</v>
      </c>
      <c r="I19" s="46" t="s">
        <v>44</v>
      </c>
    </row>
    <row r="20" spans="1:9" ht="90" customHeight="1" x14ac:dyDescent="0.3">
      <c r="A20" s="33" t="s">
        <v>45</v>
      </c>
      <c r="B20" s="44">
        <v>3</v>
      </c>
      <c r="C20" s="19"/>
      <c r="D20" s="20"/>
      <c r="E20" s="20"/>
      <c r="F20" s="20"/>
      <c r="G20" s="21" t="s">
        <v>16</v>
      </c>
      <c r="H20">
        <f t="shared" si="0"/>
        <v>3</v>
      </c>
      <c r="I20" s="46" t="s">
        <v>46</v>
      </c>
    </row>
    <row r="21" spans="1:9" ht="90" customHeight="1" x14ac:dyDescent="0.3">
      <c r="A21" s="33" t="s">
        <v>47</v>
      </c>
      <c r="B21" s="44">
        <v>3</v>
      </c>
      <c r="C21" s="19"/>
      <c r="D21" s="20"/>
      <c r="E21" s="20"/>
      <c r="F21" s="20"/>
      <c r="G21" s="21" t="s">
        <v>16</v>
      </c>
      <c r="H21">
        <f t="shared" si="0"/>
        <v>3</v>
      </c>
      <c r="I21" s="46" t="s">
        <v>48</v>
      </c>
    </row>
    <row r="22" spans="1:9" ht="90" customHeight="1" x14ac:dyDescent="0.3">
      <c r="A22" s="33" t="s">
        <v>49</v>
      </c>
      <c r="B22" s="44">
        <v>3</v>
      </c>
      <c r="C22" s="19"/>
      <c r="D22" s="20"/>
      <c r="E22" s="20"/>
      <c r="F22" s="20"/>
      <c r="G22" s="21" t="s">
        <v>16</v>
      </c>
      <c r="H22">
        <f t="shared" si="0"/>
        <v>3</v>
      </c>
      <c r="I22" s="46" t="s">
        <v>50</v>
      </c>
    </row>
    <row r="23" spans="1:9" ht="90" customHeight="1" x14ac:dyDescent="0.3">
      <c r="A23" s="33" t="s">
        <v>51</v>
      </c>
      <c r="B23" s="44">
        <v>3</v>
      </c>
      <c r="C23" s="19"/>
      <c r="D23" s="20"/>
      <c r="E23" s="20"/>
      <c r="F23" s="20"/>
      <c r="G23" s="21" t="s">
        <v>16</v>
      </c>
      <c r="H23">
        <f t="shared" si="0"/>
        <v>3</v>
      </c>
      <c r="I23" s="46" t="s">
        <v>52</v>
      </c>
    </row>
    <row r="24" spans="1:9" ht="90" customHeight="1" x14ac:dyDescent="0.3">
      <c r="A24" s="33" t="s">
        <v>53</v>
      </c>
      <c r="B24" s="44">
        <v>3</v>
      </c>
      <c r="C24" s="19"/>
      <c r="D24" s="20"/>
      <c r="E24" s="20"/>
      <c r="F24" s="20"/>
      <c r="G24" s="21" t="s">
        <v>16</v>
      </c>
      <c r="H24">
        <f t="shared" si="0"/>
        <v>3</v>
      </c>
      <c r="I24" s="46" t="s">
        <v>54</v>
      </c>
    </row>
    <row r="25" spans="1:9" ht="90" customHeight="1" x14ac:dyDescent="0.3">
      <c r="A25" s="33" t="s">
        <v>55</v>
      </c>
      <c r="B25" s="44">
        <v>3</v>
      </c>
      <c r="C25" s="19"/>
      <c r="D25" s="20"/>
      <c r="E25" s="20"/>
      <c r="F25" s="20"/>
      <c r="G25" s="8" t="s">
        <v>16</v>
      </c>
      <c r="H25">
        <f t="shared" si="0"/>
        <v>3</v>
      </c>
      <c r="I25" s="46" t="s">
        <v>56</v>
      </c>
    </row>
    <row r="26" spans="1:9" ht="90" customHeight="1" x14ac:dyDescent="0.3">
      <c r="A26" s="33" t="s">
        <v>57</v>
      </c>
      <c r="B26" s="44">
        <v>3</v>
      </c>
      <c r="C26" s="19"/>
      <c r="D26" s="20"/>
      <c r="E26" s="20"/>
      <c r="F26" s="20"/>
      <c r="G26" s="8" t="s">
        <v>16</v>
      </c>
      <c r="H26">
        <f t="shared" si="0"/>
        <v>3</v>
      </c>
      <c r="I26" s="46" t="s">
        <v>58</v>
      </c>
    </row>
    <row r="27" spans="1:9" ht="90" customHeight="1" x14ac:dyDescent="0.3">
      <c r="A27" s="33" t="s">
        <v>59</v>
      </c>
      <c r="B27" s="44">
        <v>3</v>
      </c>
      <c r="C27" s="19"/>
      <c r="D27" s="20"/>
      <c r="E27" s="20"/>
      <c r="F27" s="20"/>
      <c r="G27" s="8" t="s">
        <v>16</v>
      </c>
      <c r="H27">
        <f t="shared" si="0"/>
        <v>3</v>
      </c>
      <c r="I27" s="46" t="s">
        <v>60</v>
      </c>
    </row>
    <row r="28" spans="1:9" ht="90" customHeight="1" x14ac:dyDescent="0.3">
      <c r="A28" s="33" t="s">
        <v>61</v>
      </c>
      <c r="B28" s="44">
        <v>3</v>
      </c>
      <c r="C28" s="19"/>
      <c r="D28" s="20"/>
      <c r="E28" s="20"/>
      <c r="F28" s="20"/>
      <c r="G28" s="21" t="s">
        <v>16</v>
      </c>
      <c r="H28">
        <f t="shared" si="0"/>
        <v>3</v>
      </c>
      <c r="I28" s="46" t="s">
        <v>62</v>
      </c>
    </row>
    <row r="29" spans="1:9" ht="90" customHeight="1" x14ac:dyDescent="0.3">
      <c r="A29" s="33" t="s">
        <v>63</v>
      </c>
      <c r="B29" s="44">
        <v>3</v>
      </c>
      <c r="C29" s="19"/>
      <c r="D29" s="20"/>
      <c r="E29" s="20"/>
      <c r="F29" s="20"/>
      <c r="G29" s="21" t="s">
        <v>16</v>
      </c>
      <c r="H29">
        <f t="shared" si="0"/>
        <v>3</v>
      </c>
      <c r="I29" s="46" t="s">
        <v>64</v>
      </c>
    </row>
    <row r="30" spans="1:9" ht="90" customHeight="1" x14ac:dyDescent="0.3">
      <c r="A30" s="33" t="s">
        <v>65</v>
      </c>
      <c r="B30" s="44">
        <v>3</v>
      </c>
      <c r="C30" s="19"/>
      <c r="D30" s="20"/>
      <c r="E30" s="20"/>
      <c r="F30" s="20"/>
      <c r="G30" s="21" t="s">
        <v>16</v>
      </c>
      <c r="H30">
        <f t="shared" si="0"/>
        <v>3</v>
      </c>
      <c r="I30" s="46" t="s">
        <v>66</v>
      </c>
    </row>
    <row r="31" spans="1:9" ht="90" customHeight="1" x14ac:dyDescent="0.3">
      <c r="A31" s="33" t="s">
        <v>67</v>
      </c>
      <c r="B31" s="44">
        <v>3</v>
      </c>
      <c r="C31" s="19"/>
      <c r="D31" s="20"/>
      <c r="E31" s="20"/>
      <c r="F31" s="20"/>
      <c r="G31" s="21" t="s">
        <v>16</v>
      </c>
      <c r="H31">
        <f t="shared" si="0"/>
        <v>3</v>
      </c>
      <c r="I31" s="46" t="s">
        <v>68</v>
      </c>
    </row>
    <row r="32" spans="1:9" ht="90" customHeight="1" x14ac:dyDescent="0.3">
      <c r="A32" s="33" t="s">
        <v>69</v>
      </c>
      <c r="B32" s="44">
        <v>3</v>
      </c>
      <c r="C32" s="19"/>
      <c r="D32" s="20"/>
      <c r="E32" s="20"/>
      <c r="F32" s="20"/>
      <c r="G32" s="21" t="s">
        <v>16</v>
      </c>
      <c r="H32">
        <f t="shared" si="0"/>
        <v>3</v>
      </c>
      <c r="I32" s="46" t="s">
        <v>70</v>
      </c>
    </row>
    <row r="33" spans="1:9" ht="90" customHeight="1" x14ac:dyDescent="0.3">
      <c r="A33" s="33" t="s">
        <v>71</v>
      </c>
      <c r="B33" s="44">
        <v>3</v>
      </c>
      <c r="C33" s="12"/>
      <c r="D33" s="7"/>
      <c r="E33" s="7"/>
      <c r="F33" s="7"/>
      <c r="G33" s="8" t="s">
        <v>16</v>
      </c>
      <c r="H33">
        <f t="shared" si="0"/>
        <v>3</v>
      </c>
      <c r="I33" s="46" t="s">
        <v>72</v>
      </c>
    </row>
    <row r="34" spans="1:9" ht="90" customHeight="1" x14ac:dyDescent="0.3">
      <c r="A34" s="33" t="s">
        <v>73</v>
      </c>
      <c r="B34" s="44">
        <v>3</v>
      </c>
      <c r="C34" s="12"/>
      <c r="D34" s="7"/>
      <c r="E34" s="7"/>
      <c r="F34" s="7"/>
      <c r="G34" s="8" t="s">
        <v>16</v>
      </c>
      <c r="H34">
        <f t="shared" si="0"/>
        <v>3</v>
      </c>
      <c r="I34" s="46" t="s">
        <v>74</v>
      </c>
    </row>
    <row r="35" spans="1:9" ht="90" customHeight="1" thickBot="1" x14ac:dyDescent="0.35">
      <c r="A35" s="33" t="s">
        <v>75</v>
      </c>
      <c r="B35" s="44">
        <v>3</v>
      </c>
      <c r="C35" s="12"/>
      <c r="D35" s="7"/>
      <c r="E35" s="7"/>
      <c r="F35" s="7"/>
      <c r="G35" s="8" t="s">
        <v>16</v>
      </c>
      <c r="H35">
        <f t="shared" si="0"/>
        <v>3</v>
      </c>
      <c r="I35" s="46" t="s">
        <v>76</v>
      </c>
    </row>
    <row r="36" spans="1:9" ht="18.75" customHeight="1" x14ac:dyDescent="0.35">
      <c r="A36" s="1"/>
      <c r="B36" s="6"/>
      <c r="C36" s="52" t="s">
        <v>0</v>
      </c>
      <c r="D36" s="53"/>
      <c r="E36" s="53"/>
      <c r="F36" s="53"/>
      <c r="G36" s="54"/>
      <c r="I36" s="40"/>
    </row>
    <row r="37" spans="1:9" ht="120" customHeight="1" thickBot="1" x14ac:dyDescent="0.35">
      <c r="A37" s="11" t="s">
        <v>2</v>
      </c>
      <c r="C37" s="4" t="s">
        <v>77</v>
      </c>
      <c r="D37" s="45" t="s">
        <v>78</v>
      </c>
      <c r="E37" s="2" t="s">
        <v>79</v>
      </c>
      <c r="F37" s="2" t="s">
        <v>80</v>
      </c>
      <c r="G37" s="3" t="s">
        <v>81</v>
      </c>
      <c r="I37" s="41"/>
    </row>
    <row r="38" spans="1:9" ht="19.5" customHeight="1" thickBot="1" x14ac:dyDescent="0.4">
      <c r="A38" s="13" t="s">
        <v>8</v>
      </c>
      <c r="B38" s="14" t="s">
        <v>9</v>
      </c>
      <c r="C38" s="15" t="s">
        <v>10</v>
      </c>
      <c r="D38" s="37" t="s">
        <v>11</v>
      </c>
      <c r="E38" s="16" t="s">
        <v>12</v>
      </c>
      <c r="F38" s="16" t="s">
        <v>13</v>
      </c>
      <c r="G38" s="17" t="s">
        <v>14</v>
      </c>
      <c r="I38" s="41"/>
    </row>
    <row r="39" spans="1:9" ht="90" customHeight="1" x14ac:dyDescent="0.3">
      <c r="A39" s="22" t="s">
        <v>82</v>
      </c>
      <c r="B39" s="42">
        <v>6</v>
      </c>
      <c r="C39" s="23"/>
      <c r="D39" s="24"/>
      <c r="E39" s="24"/>
      <c r="F39" s="24"/>
      <c r="G39" s="25" t="s">
        <v>16</v>
      </c>
      <c r="H39">
        <f>_xlfn.IFS(C39="X",(0*B39)/4,D39="X",(1*B39)/4,E39="X",(2*B39)/4,F39="X",(3*B39)/4,G39="X",(4*B39)/4)</f>
        <v>6</v>
      </c>
      <c r="I39" s="47" t="s">
        <v>83</v>
      </c>
    </row>
    <row r="40" spans="1:9" ht="90" customHeight="1" thickBot="1" x14ac:dyDescent="0.35">
      <c r="A40" s="18" t="s">
        <v>84</v>
      </c>
      <c r="B40" s="43">
        <v>4</v>
      </c>
      <c r="C40" s="26"/>
      <c r="D40" s="27"/>
      <c r="E40" s="27"/>
      <c r="F40" s="27"/>
      <c r="G40" s="28" t="s">
        <v>16</v>
      </c>
      <c r="H40" s="29">
        <f>_xlfn.IFS(C40="X",(0*B40)/4,D40="X",(1*B40)/4,E40="X",(2*B40)/4,F40="X",(3*B40)/4,G40="X",(4*B40)/4)</f>
        <v>4</v>
      </c>
      <c r="I40" s="48" t="s">
        <v>85</v>
      </c>
    </row>
    <row r="42" spans="1:9" ht="31.5" customHeight="1" x14ac:dyDescent="0.6">
      <c r="F42" s="9" t="s">
        <v>86</v>
      </c>
      <c r="G42" s="10">
        <f>SUM(H4:H40)</f>
        <v>100</v>
      </c>
    </row>
  </sheetData>
  <mergeCells count="3">
    <mergeCell ref="I1:I3"/>
    <mergeCell ref="C36:G36"/>
    <mergeCell ref="C1:G1"/>
  </mergeCells>
  <conditionalFormatting sqref="G42">
    <cfRule type="cellIs" dxfId="1" priority="3" operator="lessThan">
      <formula>70</formula>
    </cfRule>
    <cfRule type="cellIs" dxfId="0" priority="4" operator="greaterThanOrEqual">
      <formula>70</formula>
    </cfRule>
  </conditionalFormatting>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Mario Viquez Acuna</dc:creator>
  <cp:lastModifiedBy>JOSEPH DANIEL SALAS RIVAS</cp:lastModifiedBy>
  <dcterms:created xsi:type="dcterms:W3CDTF">2019-09-13T15:06:11Z</dcterms:created>
  <dcterms:modified xsi:type="dcterms:W3CDTF">2026-06-09T03:20:30Z</dcterms:modified>
</cp:coreProperties>
</file>